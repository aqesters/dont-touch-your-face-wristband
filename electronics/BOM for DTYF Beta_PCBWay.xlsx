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<sst xmlns="http://schemas.openxmlformats.org/spreadsheetml/2006/main" count="202" uniqueCount="134">
  <si>
    <t>Bill of Materials for DTYF Beta</t>
  </si>
  <si>
    <t>Item #</t>
  </si>
  <si>
    <r>
      <rPr>
        <rFont val="Arial"/>
        <b/>
        <color rgb="FFFF0000"/>
        <sz val="11.0"/>
      </rPr>
      <t>*</t>
    </r>
    <r>
      <rPr>
        <rFont val="Arial"/>
        <b/>
        <color rgb="FFFF0000"/>
        <sz val="11.0"/>
      </rPr>
      <t>Designator</t>
    </r>
  </si>
  <si>
    <r>
      <rPr>
        <rFont val="Arial"/>
        <b/>
        <color rgb="FFFF0000"/>
        <sz val="11.0"/>
      </rPr>
      <t>*</t>
    </r>
    <r>
      <rPr>
        <rFont val="Arial"/>
        <b/>
        <color theme="1"/>
        <sz val="11.0"/>
      </rPr>
      <t>Qty</t>
    </r>
  </si>
  <si>
    <t>Manufacturer</t>
  </si>
  <si>
    <r>
      <rPr>
        <rFont val="Arial"/>
        <b/>
        <color rgb="FFFF0000"/>
        <sz val="11.0"/>
      </rPr>
      <t>*</t>
    </r>
    <r>
      <rPr>
        <rFont val="Arial"/>
        <b/>
        <color theme="1"/>
        <sz val="11.0"/>
      </rPr>
      <t>Mfg Part #</t>
    </r>
  </si>
  <si>
    <t>Description / Value</t>
  </si>
  <si>
    <r>
      <rPr>
        <rFont val="Arial"/>
        <b/>
        <color rgb="FFFF0000"/>
        <sz val="11.0"/>
      </rPr>
      <t>*</t>
    </r>
    <r>
      <rPr>
        <rFont val="Arial"/>
        <b/>
        <color rgb="FFFF0000"/>
        <sz val="11.0"/>
      </rPr>
      <t xml:space="preserve">Package/Footprint </t>
    </r>
  </si>
  <si>
    <t>Type</t>
  </si>
  <si>
    <t>Your Instructions / Notes</t>
  </si>
  <si>
    <t>C1, C3, C5, C6, C7, C8, C10, C11, C12</t>
  </si>
  <si>
    <t>Samsung Electro-Mechanics</t>
  </si>
  <si>
    <t>CL05B104KP5NNNC</t>
  </si>
  <si>
    <t>Unpolarized capacitor 100nF</t>
  </si>
  <si>
    <t>0402</t>
  </si>
  <si>
    <t>SMD</t>
  </si>
  <si>
    <t xml:space="preserve">C2, </t>
  </si>
  <si>
    <t>CL05B224KO5NNNC</t>
  </si>
  <si>
    <t>Unpolarized capacitor 220nF</t>
  </si>
  <si>
    <t xml:space="preserve">C4, </t>
  </si>
  <si>
    <t>CL05A105KO5NNNC</t>
  </si>
  <si>
    <t>Unpolarized capacitor 1uF</t>
  </si>
  <si>
    <t xml:space="preserve">C9, </t>
  </si>
  <si>
    <t>CL05A475KQ5NRNC</t>
  </si>
  <si>
    <t>Unpolarized capacitor 4.7 uF</t>
  </si>
  <si>
    <t xml:space="preserve">C13, </t>
  </si>
  <si>
    <t>CL05A106MQ5NUNC</t>
  </si>
  <si>
    <t>Unpolarized capacitor 10uF</t>
  </si>
  <si>
    <t xml:space="preserve">C14, </t>
  </si>
  <si>
    <t>CL21A476MQYNNNE</t>
  </si>
  <si>
    <t>Unpolarized capacitor 47 uF</t>
  </si>
  <si>
    <t>0805</t>
  </si>
  <si>
    <t xml:space="preserve">D1, </t>
  </si>
  <si>
    <t>Cree LED</t>
  </si>
  <si>
    <t>CLMVC-FKA-CL1D1L71BB7C3C3</t>
  </si>
  <si>
    <t>RGB LED, anode/blue/green/red</t>
  </si>
  <si>
    <t>PLCC4_2X2mm_CW</t>
  </si>
  <si>
    <t>Pad 1 marked on PCB layout</t>
  </si>
  <si>
    <t xml:space="preserve">D2, </t>
  </si>
  <si>
    <t>onsemi</t>
  </si>
  <si>
    <t>ESD9B5.0ST5G</t>
  </si>
  <si>
    <t>ESD protection diode, 5.0Vrwm</t>
  </si>
  <si>
    <t>SOD-923</t>
  </si>
  <si>
    <t xml:space="preserve">D3, D4, </t>
  </si>
  <si>
    <t>ESD9B3.3ST5G</t>
  </si>
  <si>
    <t>ESD protection diode, 3.3Vrwm</t>
  </si>
  <si>
    <t xml:space="preserve">J1, </t>
  </si>
  <si>
    <t>GCT</t>
  </si>
  <si>
    <t>USB4085-GF-A</t>
  </si>
  <si>
    <t>USB-C receptacle connector USB4085</t>
  </si>
  <si>
    <t>GCT-USB4085</t>
  </si>
  <si>
    <t>Thru-hole</t>
  </si>
  <si>
    <t>J2, J3,</t>
  </si>
  <si>
    <t>-</t>
  </si>
  <si>
    <t>Custom SMD pads for customer use</t>
  </si>
  <si>
    <t>DNI</t>
  </si>
  <si>
    <t xml:space="preserve">DNI - No parts specified </t>
  </si>
  <si>
    <t xml:space="preserve">Q1, </t>
  </si>
  <si>
    <t>2N7002</t>
  </si>
  <si>
    <t>0.115A Id, 60V Vds, N-Channel MOSFET</t>
  </si>
  <si>
    <t>SOT-23</t>
  </si>
  <si>
    <t xml:space="preserve">R1, </t>
  </si>
  <si>
    <t>YAGEO</t>
  </si>
  <si>
    <t>RC0603FR-07220RL</t>
  </si>
  <si>
    <t>Resistor 220 Ohms</t>
  </si>
  <si>
    <t>0603</t>
  </si>
  <si>
    <t xml:space="preserve">R2, </t>
  </si>
  <si>
    <t>Panasonic Electronic Components</t>
  </si>
  <si>
    <t>ERJ-2BWFR050X</t>
  </si>
  <si>
    <t>Current sense resistor 50 mOhms, 1% tolerance</t>
  </si>
  <si>
    <t>If replaced, tolerance must be 1% max</t>
  </si>
  <si>
    <t xml:space="preserve">R3, </t>
  </si>
  <si>
    <t>ERJ-2RKF1001X</t>
  </si>
  <si>
    <t xml:space="preserve">Resistor 1k </t>
  </si>
  <si>
    <t xml:space="preserve">R4, R12, </t>
  </si>
  <si>
    <t>ERJ-2RKF1004X</t>
  </si>
  <si>
    <t xml:space="preserve">Resistor 1M </t>
  </si>
  <si>
    <t xml:space="preserve">R5, </t>
  </si>
  <si>
    <t>ERJ-2RKF1303X</t>
  </si>
  <si>
    <t>Resistor 130k</t>
  </si>
  <si>
    <t xml:space="preserve">R6, </t>
  </si>
  <si>
    <t>ERA-2AEB9090X</t>
  </si>
  <si>
    <t xml:space="preserve">Resistor 909 </t>
  </si>
  <si>
    <t xml:space="preserve">R7, R9, R10, </t>
  </si>
  <si>
    <t>ERJ-2GEJ472X</t>
  </si>
  <si>
    <t>Resistor 4.7k</t>
  </si>
  <si>
    <t xml:space="preserve">R8, </t>
  </si>
  <si>
    <t>ERJ-3EKF22R0V</t>
  </si>
  <si>
    <t>Resistor 22</t>
  </si>
  <si>
    <t xml:space="preserve">R11, </t>
  </si>
  <si>
    <t>ERJ-2GEJ223X</t>
  </si>
  <si>
    <t>Resistor 22k</t>
  </si>
  <si>
    <t xml:space="preserve">R13, R14, </t>
  </si>
  <si>
    <t>ERJ-2GEJ512X</t>
  </si>
  <si>
    <t>Resistor 5.1k</t>
  </si>
  <si>
    <t xml:space="preserve">SW1, </t>
  </si>
  <si>
    <t>C&amp;K</t>
  </si>
  <si>
    <t>JS102011JAQN</t>
  </si>
  <si>
    <t>Switch, single pole double throw (SPDT)</t>
  </si>
  <si>
    <t>SW_SPDT_CK-JS102011JAQN</t>
  </si>
  <si>
    <t xml:space="preserve">TH1, </t>
  </si>
  <si>
    <t>Murata Electronics</t>
  </si>
  <si>
    <t>NCU15XH103F6SRC</t>
  </si>
  <si>
    <t>NTC 10k, temperature-dependent resistor</t>
  </si>
  <si>
    <t xml:space="preserve">U1, </t>
  </si>
  <si>
    <t>STMicroelectronics</t>
  </si>
  <si>
    <t>LSM303AGRTR</t>
  </si>
  <si>
    <t>IMU, accelerometer + magnetometer</t>
  </si>
  <si>
    <t>LGA-12</t>
  </si>
  <si>
    <t xml:space="preserve">U2, </t>
  </si>
  <si>
    <t>STC3115AIQT</t>
  </si>
  <si>
    <t>IC battery monitor</t>
  </si>
  <si>
    <t>DFN-10</t>
  </si>
  <si>
    <t xml:space="preserve">U3, </t>
  </si>
  <si>
    <t>Vishay Semiconductor</t>
  </si>
  <si>
    <t>VCNL4020-GS08</t>
  </si>
  <si>
    <t>Optical sensor, IR and ambient</t>
  </si>
  <si>
    <t>VDFN-10</t>
  </si>
  <si>
    <t xml:space="preserve">U4, </t>
  </si>
  <si>
    <t>Microchip Technology</t>
  </si>
  <si>
    <t>MCP73834-CNI/MF</t>
  </si>
  <si>
    <t>IC single-cell battery control</t>
  </si>
  <si>
    <t xml:space="preserve">U5, </t>
  </si>
  <si>
    <t>ATTINY85-20SU</t>
  </si>
  <si>
    <t>AtTiny85 MCU, 8kB Flash, 512B SRAM, 512B EEPROM</t>
  </si>
  <si>
    <t>SOIC-8</t>
  </si>
  <si>
    <t>DNI - I will program and install</t>
  </si>
  <si>
    <t xml:space="preserve">U6, </t>
  </si>
  <si>
    <t>Diodes Incorporated</t>
  </si>
  <si>
    <t>AP2112K-3.3TRG1</t>
  </si>
  <si>
    <t xml:space="preserve">3.3V / 600mA LDO regulator with enable pin </t>
  </si>
  <si>
    <t>SOT-25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</si>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</sst>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1.0"/>
      <color rgb="FFFF0000"/>
      <name val="Arial"/>
    </font>
    <font>
      <u/>
      <sz val="11.0"/>
      <color theme="10"/>
      <name val="SimSun"/>
    </font>
    <font>
      <u/>
      <sz val="11.0"/>
      <color theme="10"/>
      <name val="SimSun"/>
    </font>
    <font>
      <u/>
      <sz val="11.0"/>
      <color rgb="FF800080"/>
      <name val="SimSun"/>
    </font>
    <font>
      <u/>
      <sz val="11.0"/>
      <color rgb="FF800080"/>
      <name val="SimSu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49" xfId="0" applyAlignment="1" applyFont="1" applyNumberForma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3" fontId="2" numFmtId="0" xfId="0" applyAlignment="1" applyBorder="1" applyFont="1">
      <alignment horizontal="center" vertical="center"/>
    </xf>
    <xf borderId="1" fillId="3" fontId="3" numFmtId="49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center" vertical="bottom"/>
    </xf>
    <xf borderId="1" fillId="0" fontId="1" numFmtId="0" xfId="0" applyAlignment="1" applyBorder="1" applyFont="1">
      <alignment horizontal="left" readingOrder="0" vertical="bottom"/>
    </xf>
    <xf borderId="1" fillId="0" fontId="1" numFmtId="0" xfId="0" applyAlignment="1" applyBorder="1" applyFont="1">
      <alignment horizontal="center" readingOrder="0" vertical="bottom"/>
    </xf>
    <xf borderId="1" fillId="0" fontId="1" numFmtId="49" xfId="0" applyAlignment="1" applyBorder="1" applyFont="1" applyNumberFormat="1">
      <alignment horizontal="left" readingOrder="0" vertical="bottom"/>
    </xf>
    <xf borderId="1" fillId="0" fontId="1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left" vertical="bottom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left" vertical="center"/>
    </xf>
    <xf borderId="0" fillId="0" fontId="5" numFmtId="49" xfId="0" applyAlignment="1" applyFont="1" applyNumberFormat="1">
      <alignment horizontal="left" vertical="center"/>
    </xf>
    <xf borderId="0" fillId="0" fontId="6" numFmtId="0" xfId="0" applyAlignment="1" applyFont="1">
      <alignment horizontal="left" vertical="center"/>
    </xf>
    <xf borderId="0" fillId="0" fontId="7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28575</xdr:rowOff>
    </xdr:from>
    <xdr:ext cx="1257300" cy="371475"/>
    <xdr:pic>
      <xdr:nvPicPr>
        <xdr:cNvPr descr="pcbway-400x400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cbway.com/blog/PCB_Assembly/How_to_Build_a_BOM__Bill_Of_Materials_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39.0"/>
    <col customWidth="1" min="3" max="3" width="9.0"/>
    <col customWidth="1" min="4" max="4" width="36.86"/>
    <col customWidth="1" min="5" max="5" width="35.29"/>
    <col customWidth="1" min="6" max="6" width="53.57"/>
    <col customWidth="1" min="7" max="7" width="31.0"/>
    <col customWidth="1" min="8" max="8" width="13.57"/>
    <col customWidth="1" min="9" max="9" width="37.43"/>
    <col customWidth="1" min="10" max="26" width="9.0"/>
  </cols>
  <sheetData>
    <row r="1" ht="14.25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3"/>
      <c r="C2" s="1"/>
      <c r="D2" s="4" t="s">
        <v>0</v>
      </c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C3" s="1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8.5" customHeight="1">
      <c r="A6" s="5" t="s">
        <v>1</v>
      </c>
      <c r="B6" s="6" t="s">
        <v>2</v>
      </c>
      <c r="C6" s="7" t="s">
        <v>3</v>
      </c>
      <c r="D6" s="5" t="s">
        <v>4</v>
      </c>
      <c r="E6" s="7" t="s">
        <v>5</v>
      </c>
      <c r="F6" s="5" t="s">
        <v>6</v>
      </c>
      <c r="G6" s="8" t="s">
        <v>7</v>
      </c>
      <c r="H6" s="5" t="s">
        <v>8</v>
      </c>
      <c r="I6" s="5" t="s">
        <v>9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4.25" customHeight="1">
      <c r="A7" s="9">
        <v>1.0</v>
      </c>
      <c r="B7" s="10" t="s">
        <v>10</v>
      </c>
      <c r="C7" s="11">
        <v>9.0</v>
      </c>
      <c r="D7" s="10" t="s">
        <v>11</v>
      </c>
      <c r="E7" s="10" t="s">
        <v>12</v>
      </c>
      <c r="F7" s="10" t="s">
        <v>13</v>
      </c>
      <c r="G7" s="12" t="s">
        <v>14</v>
      </c>
      <c r="H7" s="13" t="s">
        <v>15</v>
      </c>
      <c r="I7" s="1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4.25" customHeight="1">
      <c r="A8" s="9">
        <v>2.0</v>
      </c>
      <c r="B8" s="15" t="s">
        <v>16</v>
      </c>
      <c r="C8" s="9">
        <v>1.0</v>
      </c>
      <c r="D8" s="10" t="s">
        <v>11</v>
      </c>
      <c r="E8" s="10" t="s">
        <v>17</v>
      </c>
      <c r="F8" s="10" t="s">
        <v>18</v>
      </c>
      <c r="G8" s="12" t="s">
        <v>14</v>
      </c>
      <c r="H8" s="13" t="s">
        <v>15</v>
      </c>
      <c r="I8" s="14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9">
        <v>3.0</v>
      </c>
      <c r="B9" s="15" t="s">
        <v>19</v>
      </c>
      <c r="C9" s="9">
        <v>1.0</v>
      </c>
      <c r="D9" s="10" t="s">
        <v>11</v>
      </c>
      <c r="E9" s="10" t="s">
        <v>20</v>
      </c>
      <c r="F9" s="10" t="s">
        <v>21</v>
      </c>
      <c r="G9" s="12" t="s">
        <v>14</v>
      </c>
      <c r="H9" s="13" t="s">
        <v>15</v>
      </c>
      <c r="I9" s="1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9">
        <v>4.0</v>
      </c>
      <c r="B10" s="15" t="s">
        <v>22</v>
      </c>
      <c r="C10" s="9">
        <v>1.0</v>
      </c>
      <c r="D10" s="10" t="s">
        <v>11</v>
      </c>
      <c r="E10" s="10" t="s">
        <v>23</v>
      </c>
      <c r="F10" s="10" t="s">
        <v>24</v>
      </c>
      <c r="G10" s="12" t="s">
        <v>14</v>
      </c>
      <c r="H10" s="13" t="s">
        <v>15</v>
      </c>
      <c r="I10" s="1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9">
        <v>5.0</v>
      </c>
      <c r="B11" s="15" t="s">
        <v>25</v>
      </c>
      <c r="C11" s="9">
        <v>1.0</v>
      </c>
      <c r="D11" s="10" t="s">
        <v>11</v>
      </c>
      <c r="E11" s="10" t="s">
        <v>26</v>
      </c>
      <c r="F11" s="10" t="s">
        <v>27</v>
      </c>
      <c r="G11" s="12" t="s">
        <v>14</v>
      </c>
      <c r="H11" s="13" t="s">
        <v>15</v>
      </c>
      <c r="I11" s="1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9">
        <v>6.0</v>
      </c>
      <c r="B12" s="15" t="s">
        <v>28</v>
      </c>
      <c r="C12" s="9">
        <v>1.0</v>
      </c>
      <c r="D12" s="10" t="s">
        <v>11</v>
      </c>
      <c r="E12" s="10" t="s">
        <v>29</v>
      </c>
      <c r="F12" s="10" t="s">
        <v>30</v>
      </c>
      <c r="G12" s="12" t="s">
        <v>31</v>
      </c>
      <c r="H12" s="13" t="s">
        <v>15</v>
      </c>
      <c r="I12" s="1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9">
        <v>7.0</v>
      </c>
      <c r="B13" s="15" t="s">
        <v>32</v>
      </c>
      <c r="C13" s="9">
        <v>1.0</v>
      </c>
      <c r="D13" s="10" t="s">
        <v>33</v>
      </c>
      <c r="E13" s="10" t="s">
        <v>34</v>
      </c>
      <c r="F13" s="10" t="s">
        <v>35</v>
      </c>
      <c r="G13" s="12" t="s">
        <v>36</v>
      </c>
      <c r="H13" s="13" t="s">
        <v>15</v>
      </c>
      <c r="I13" s="13" t="s">
        <v>37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4.25" customHeight="1">
      <c r="A14" s="9">
        <v>8.0</v>
      </c>
      <c r="B14" s="15" t="s">
        <v>38</v>
      </c>
      <c r="C14" s="9">
        <v>1.0</v>
      </c>
      <c r="D14" s="10" t="s">
        <v>39</v>
      </c>
      <c r="E14" s="10" t="s">
        <v>40</v>
      </c>
      <c r="F14" s="10" t="s">
        <v>41</v>
      </c>
      <c r="G14" s="12" t="s">
        <v>42</v>
      </c>
      <c r="H14" s="13" t="s">
        <v>15</v>
      </c>
      <c r="I14" s="1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9">
        <v>9.0</v>
      </c>
      <c r="B15" s="15" t="s">
        <v>43</v>
      </c>
      <c r="C15" s="9">
        <v>2.0</v>
      </c>
      <c r="D15" s="10" t="s">
        <v>39</v>
      </c>
      <c r="E15" s="10" t="s">
        <v>44</v>
      </c>
      <c r="F15" s="10" t="s">
        <v>45</v>
      </c>
      <c r="G15" s="12" t="s">
        <v>42</v>
      </c>
      <c r="H15" s="13" t="s">
        <v>15</v>
      </c>
      <c r="I15" s="14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9">
        <v>10.0</v>
      </c>
      <c r="B16" s="15" t="s">
        <v>46</v>
      </c>
      <c r="C16" s="9">
        <v>1.0</v>
      </c>
      <c r="D16" s="10" t="s">
        <v>47</v>
      </c>
      <c r="E16" s="10" t="s">
        <v>48</v>
      </c>
      <c r="F16" s="10" t="s">
        <v>49</v>
      </c>
      <c r="G16" s="12" t="s">
        <v>50</v>
      </c>
      <c r="H16" s="13" t="s">
        <v>51</v>
      </c>
      <c r="I16" s="1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9">
        <v>11.0</v>
      </c>
      <c r="B17" s="10" t="s">
        <v>52</v>
      </c>
      <c r="C17" s="11">
        <v>2.0</v>
      </c>
      <c r="D17" s="10" t="s">
        <v>53</v>
      </c>
      <c r="E17" s="10" t="s">
        <v>53</v>
      </c>
      <c r="F17" s="10" t="s">
        <v>54</v>
      </c>
      <c r="G17" s="12" t="s">
        <v>53</v>
      </c>
      <c r="H17" s="13" t="s">
        <v>55</v>
      </c>
      <c r="I17" s="13" t="s">
        <v>56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4.25" customHeight="1">
      <c r="A18" s="9">
        <v>12.0</v>
      </c>
      <c r="B18" s="15" t="s">
        <v>57</v>
      </c>
      <c r="C18" s="9">
        <v>1.0</v>
      </c>
      <c r="D18" s="10" t="s">
        <v>39</v>
      </c>
      <c r="E18" s="10" t="s">
        <v>58</v>
      </c>
      <c r="F18" s="10" t="s">
        <v>59</v>
      </c>
      <c r="G18" s="12" t="s">
        <v>60</v>
      </c>
      <c r="H18" s="13" t="s">
        <v>15</v>
      </c>
      <c r="I18" s="1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9">
        <v>13.0</v>
      </c>
      <c r="B19" s="15" t="s">
        <v>61</v>
      </c>
      <c r="C19" s="9">
        <v>1.0</v>
      </c>
      <c r="D19" s="10" t="s">
        <v>62</v>
      </c>
      <c r="E19" s="10" t="s">
        <v>63</v>
      </c>
      <c r="F19" s="10" t="s">
        <v>64</v>
      </c>
      <c r="G19" s="12" t="s">
        <v>65</v>
      </c>
      <c r="H19" s="13" t="s">
        <v>15</v>
      </c>
      <c r="I19" s="1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9">
        <v>14.0</v>
      </c>
      <c r="B20" s="15" t="s">
        <v>66</v>
      </c>
      <c r="C20" s="9">
        <v>1.0</v>
      </c>
      <c r="D20" s="10" t="s">
        <v>67</v>
      </c>
      <c r="E20" s="10" t="s">
        <v>68</v>
      </c>
      <c r="F20" s="10" t="s">
        <v>69</v>
      </c>
      <c r="G20" s="12" t="s">
        <v>14</v>
      </c>
      <c r="H20" s="13" t="s">
        <v>15</v>
      </c>
      <c r="I20" s="13" t="s">
        <v>70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9">
        <v>15.0</v>
      </c>
      <c r="B21" s="15" t="s">
        <v>71</v>
      </c>
      <c r="C21" s="9">
        <v>1.0</v>
      </c>
      <c r="D21" s="10" t="s">
        <v>67</v>
      </c>
      <c r="E21" s="10" t="s">
        <v>72</v>
      </c>
      <c r="F21" s="10" t="s">
        <v>73</v>
      </c>
      <c r="G21" s="12" t="s">
        <v>14</v>
      </c>
      <c r="H21" s="13" t="s">
        <v>15</v>
      </c>
      <c r="I21" s="1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9">
        <v>16.0</v>
      </c>
      <c r="B22" s="15" t="s">
        <v>74</v>
      </c>
      <c r="C22" s="9">
        <v>2.0</v>
      </c>
      <c r="D22" s="10" t="s">
        <v>67</v>
      </c>
      <c r="E22" s="10" t="s">
        <v>75</v>
      </c>
      <c r="F22" s="10" t="s">
        <v>76</v>
      </c>
      <c r="G22" s="12" t="s">
        <v>14</v>
      </c>
      <c r="H22" s="13" t="s">
        <v>15</v>
      </c>
      <c r="I22" s="1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9">
        <v>17.0</v>
      </c>
      <c r="B23" s="15" t="s">
        <v>77</v>
      </c>
      <c r="C23" s="9">
        <v>1.0</v>
      </c>
      <c r="D23" s="10" t="s">
        <v>67</v>
      </c>
      <c r="E23" s="10" t="s">
        <v>78</v>
      </c>
      <c r="F23" s="10" t="s">
        <v>79</v>
      </c>
      <c r="G23" s="12" t="s">
        <v>14</v>
      </c>
      <c r="H23" s="13" t="s">
        <v>15</v>
      </c>
      <c r="I23" s="14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9">
        <v>18.0</v>
      </c>
      <c r="B24" s="15" t="s">
        <v>80</v>
      </c>
      <c r="C24" s="9">
        <v>1.0</v>
      </c>
      <c r="D24" s="10" t="s">
        <v>67</v>
      </c>
      <c r="E24" s="10" t="s">
        <v>81</v>
      </c>
      <c r="F24" s="10" t="s">
        <v>82</v>
      </c>
      <c r="G24" s="12" t="s">
        <v>14</v>
      </c>
      <c r="H24" s="13" t="s">
        <v>15</v>
      </c>
      <c r="I24" s="1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9">
        <v>19.0</v>
      </c>
      <c r="B25" s="15" t="s">
        <v>83</v>
      </c>
      <c r="C25" s="9">
        <v>3.0</v>
      </c>
      <c r="D25" s="10" t="s">
        <v>67</v>
      </c>
      <c r="E25" s="10" t="s">
        <v>84</v>
      </c>
      <c r="F25" s="10" t="s">
        <v>85</v>
      </c>
      <c r="G25" s="12" t="s">
        <v>14</v>
      </c>
      <c r="H25" s="13" t="s">
        <v>15</v>
      </c>
      <c r="I25" s="14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9">
        <v>20.0</v>
      </c>
      <c r="B26" s="15" t="s">
        <v>86</v>
      </c>
      <c r="C26" s="9">
        <v>1.0</v>
      </c>
      <c r="D26" s="10" t="s">
        <v>67</v>
      </c>
      <c r="E26" s="10" t="s">
        <v>87</v>
      </c>
      <c r="F26" s="10" t="s">
        <v>88</v>
      </c>
      <c r="G26" s="12" t="s">
        <v>65</v>
      </c>
      <c r="H26" s="13" t="s">
        <v>15</v>
      </c>
      <c r="I26" s="14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9">
        <v>21.0</v>
      </c>
      <c r="B27" s="15" t="s">
        <v>89</v>
      </c>
      <c r="C27" s="9">
        <v>1.0</v>
      </c>
      <c r="D27" s="10" t="s">
        <v>67</v>
      </c>
      <c r="E27" s="10" t="s">
        <v>90</v>
      </c>
      <c r="F27" s="10" t="s">
        <v>91</v>
      </c>
      <c r="G27" s="12" t="s">
        <v>14</v>
      </c>
      <c r="H27" s="13" t="s">
        <v>15</v>
      </c>
      <c r="I27" s="1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9">
        <v>22.0</v>
      </c>
      <c r="B28" s="15" t="s">
        <v>92</v>
      </c>
      <c r="C28" s="9">
        <v>2.0</v>
      </c>
      <c r="D28" s="10" t="s">
        <v>67</v>
      </c>
      <c r="E28" s="10" t="s">
        <v>93</v>
      </c>
      <c r="F28" s="10" t="s">
        <v>94</v>
      </c>
      <c r="G28" s="12" t="s">
        <v>14</v>
      </c>
      <c r="H28" s="13" t="s">
        <v>15</v>
      </c>
      <c r="I28" s="14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9">
        <v>23.0</v>
      </c>
      <c r="B29" s="15" t="s">
        <v>95</v>
      </c>
      <c r="C29" s="9">
        <v>1.0</v>
      </c>
      <c r="D29" s="10" t="s">
        <v>96</v>
      </c>
      <c r="E29" s="10" t="s">
        <v>97</v>
      </c>
      <c r="F29" s="10" t="s">
        <v>98</v>
      </c>
      <c r="G29" s="12" t="s">
        <v>99</v>
      </c>
      <c r="H29" s="13" t="s">
        <v>15</v>
      </c>
      <c r="I29" s="13" t="s">
        <v>37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9">
        <v>24.0</v>
      </c>
      <c r="B30" s="15" t="s">
        <v>100</v>
      </c>
      <c r="C30" s="9">
        <v>1.0</v>
      </c>
      <c r="D30" s="10" t="s">
        <v>101</v>
      </c>
      <c r="E30" s="10" t="s">
        <v>102</v>
      </c>
      <c r="F30" s="10" t="s">
        <v>103</v>
      </c>
      <c r="G30" s="12" t="s">
        <v>14</v>
      </c>
      <c r="H30" s="13" t="s">
        <v>15</v>
      </c>
      <c r="I30" s="1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9">
        <v>25.0</v>
      </c>
      <c r="B31" s="15" t="s">
        <v>104</v>
      </c>
      <c r="C31" s="9">
        <v>1.0</v>
      </c>
      <c r="D31" s="10" t="s">
        <v>105</v>
      </c>
      <c r="E31" s="10" t="s">
        <v>106</v>
      </c>
      <c r="F31" s="10" t="s">
        <v>107</v>
      </c>
      <c r="G31" s="12" t="s">
        <v>108</v>
      </c>
      <c r="H31" s="13" t="s">
        <v>15</v>
      </c>
      <c r="I31" s="13" t="s">
        <v>37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9">
        <v>26.0</v>
      </c>
      <c r="B32" s="15" t="s">
        <v>109</v>
      </c>
      <c r="C32" s="9">
        <v>1.0</v>
      </c>
      <c r="D32" s="10" t="s">
        <v>105</v>
      </c>
      <c r="E32" s="10" t="s">
        <v>110</v>
      </c>
      <c r="F32" s="10" t="s">
        <v>111</v>
      </c>
      <c r="G32" s="12" t="s">
        <v>112</v>
      </c>
      <c r="H32" s="13" t="s">
        <v>15</v>
      </c>
      <c r="I32" s="13" t="s">
        <v>37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9">
        <v>27.0</v>
      </c>
      <c r="B33" s="15" t="s">
        <v>113</v>
      </c>
      <c r="C33" s="9">
        <v>1.0</v>
      </c>
      <c r="D33" s="10" t="s">
        <v>114</v>
      </c>
      <c r="E33" s="10" t="s">
        <v>115</v>
      </c>
      <c r="F33" s="10" t="s">
        <v>116</v>
      </c>
      <c r="G33" s="12" t="s">
        <v>117</v>
      </c>
      <c r="H33" s="13" t="s">
        <v>15</v>
      </c>
      <c r="I33" s="13" t="s">
        <v>37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9">
        <v>28.0</v>
      </c>
      <c r="B34" s="15" t="s">
        <v>118</v>
      </c>
      <c r="C34" s="9">
        <v>1.0</v>
      </c>
      <c r="D34" s="10" t="s">
        <v>119</v>
      </c>
      <c r="E34" s="10" t="s">
        <v>120</v>
      </c>
      <c r="F34" s="10" t="s">
        <v>121</v>
      </c>
      <c r="G34" s="12" t="s">
        <v>112</v>
      </c>
      <c r="H34" s="13" t="s">
        <v>15</v>
      </c>
      <c r="I34" s="13" t="s">
        <v>37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9">
        <v>29.0</v>
      </c>
      <c r="B35" s="15" t="s">
        <v>122</v>
      </c>
      <c r="C35" s="9">
        <v>1.0</v>
      </c>
      <c r="D35" s="10" t="s">
        <v>119</v>
      </c>
      <c r="E35" s="10" t="s">
        <v>123</v>
      </c>
      <c r="F35" s="10" t="s">
        <v>124</v>
      </c>
      <c r="G35" s="12" t="s">
        <v>125</v>
      </c>
      <c r="H35" s="13" t="s">
        <v>55</v>
      </c>
      <c r="I35" s="13" t="s">
        <v>126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9">
        <v>30.0</v>
      </c>
      <c r="B36" s="15" t="s">
        <v>127</v>
      </c>
      <c r="C36" s="9">
        <v>1.0</v>
      </c>
      <c r="D36" s="10" t="s">
        <v>128</v>
      </c>
      <c r="E36" s="10" t="s">
        <v>129</v>
      </c>
      <c r="F36" s="10" t="s">
        <v>130</v>
      </c>
      <c r="G36" s="12" t="s">
        <v>131</v>
      </c>
      <c r="H36" s="13" t="s">
        <v>15</v>
      </c>
      <c r="I36" s="13" t="s">
        <v>37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"/>
      <c r="B37" s="1"/>
      <c r="C37" s="16">
        <f>SUM(C7:C36)</f>
        <v>44</v>
      </c>
      <c r="D37" s="1"/>
      <c r="E37" s="1"/>
      <c r="F37" s="1"/>
      <c r="G37" s="2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"/>
      <c r="B38" s="1"/>
      <c r="C38" s="1"/>
      <c r="D38" s="1"/>
      <c r="E38" s="1"/>
      <c r="F38" s="1"/>
      <c r="G38" s="2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7" t="s">
        <v>132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7"/>
      <c r="B40" s="17"/>
      <c r="C40" s="17"/>
      <c r="D40" s="17"/>
      <c r="E40" s="17"/>
      <c r="F40" s="17"/>
      <c r="G40" s="18"/>
      <c r="H40" s="17"/>
      <c r="I40" s="1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9" t="s">
        <v>133</v>
      </c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4.25" customHeight="1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4.25" customHeight="1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4.25" customHeight="1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4.25" customHeight="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4.25" customHeight="1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4.25" customHeight="1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4.25" customHeight="1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4.25" customHeight="1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4.25" customHeight="1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4.25" customHeight="1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4.25" customHeight="1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4.25" customHeight="1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4.25" customHeight="1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4.25" customHeight="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4.25" customHeight="1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4.25" customHeight="1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4.25" customHeight="1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4.25" customHeight="1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4.25" customHeight="1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4.25" customHeight="1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4.25" customHeight="1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4.25" customHeight="1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4.25" customHeight="1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4.25" customHeight="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4.25" customHeight="1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4.25" customHeight="1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4.25" customHeight="1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4.25" customHeight="1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4.25" customHeight="1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4.25" customHeight="1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4.25" customHeight="1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4.25" customHeight="1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4.25" customHeight="1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4.25" customHeight="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4.25" customHeight="1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4.25" customHeight="1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4.25" customHeight="1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4.25" customHeight="1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4.25" customHeight="1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4.25" customHeight="1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4.25" customHeight="1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4.25" customHeight="1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4.25" customHeight="1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4.25" customHeight="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4.25" customHeight="1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4.25" customHeight="1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4.25" customHeight="1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4.25" customHeight="1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4.25" customHeight="1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4.25" customHeight="1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4.25" customHeight="1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4.25" customHeight="1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4.25" customHeight="1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4.25" customHeight="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4.25" customHeight="1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4.25" customHeight="1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4.25" customHeight="1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4.25" customHeight="1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4.25" customHeight="1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4.25" customHeight="1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4.25" customHeight="1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4.25" customHeight="1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4.25" customHeight="1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4.25" customHeight="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4.25" customHeight="1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4.25" customHeight="1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4.25" customHeight="1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4.25" customHeight="1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4.25" customHeight="1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4.25" customHeight="1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4.25" customHeight="1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4.25" customHeight="1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4.25" customHeight="1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4.25" customHeight="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4.25" customHeight="1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4.25" customHeight="1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4.25" customHeight="1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4.25" customHeight="1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4.25" customHeight="1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4.25" customHeight="1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4.25" customHeight="1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4.25" customHeight="1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4.25" customHeight="1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4.25" customHeight="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4.25" customHeight="1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4.25" customHeight="1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4.25" customHeight="1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4.25" customHeight="1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4.25" customHeight="1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4.25" customHeight="1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4.25" customHeight="1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4.25" customHeight="1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4.25" customHeight="1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4.25" customHeight="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4.25" customHeight="1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4.25" customHeight="1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4.25" customHeight="1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4.25" customHeight="1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4.25" customHeight="1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4.25" customHeight="1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4.25" customHeight="1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4.25" customHeight="1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4.25" customHeight="1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4.25" customHeight="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4.25" customHeight="1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4.25" customHeight="1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4.25" customHeight="1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4.25" customHeight="1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4.25" customHeight="1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4.25" customHeight="1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4.25" customHeight="1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4.25" customHeight="1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4.25" customHeight="1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4.25" customHeight="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4.25" customHeight="1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4.25" customHeight="1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4.25" customHeight="1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4.25" customHeight="1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4.25" customHeight="1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4.25" customHeight="1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4.25" customHeight="1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4.25" customHeight="1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4.25" customHeight="1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4.25" customHeight="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4.25" customHeight="1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4.25" customHeight="1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4.25" customHeight="1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4.25" customHeight="1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4.25" customHeight="1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4.25" customHeight="1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4.25" customHeight="1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4.25" customHeight="1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4.25" customHeight="1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4.25" customHeight="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4.25" customHeight="1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4.25" customHeight="1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4.25" customHeight="1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4.25" customHeight="1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4.25" customHeight="1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4.25" customHeight="1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4.25" customHeight="1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4.25" customHeight="1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4.25" customHeight="1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4.25" customHeight="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4.25" customHeight="1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4.25" customHeight="1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4.25" customHeight="1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4.25" customHeight="1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4.25" customHeight="1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4.25" customHeight="1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4.25" customHeight="1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4.25" customHeight="1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4.25" customHeight="1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4.25" customHeight="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4.25" customHeight="1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4.25" customHeight="1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4.25" customHeight="1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4.25" customHeight="1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4.25" customHeight="1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4.25" customHeight="1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4.25" customHeight="1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4.25" customHeight="1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4.25" customHeight="1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4.25" customHeight="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4.25" customHeight="1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4.25" customHeight="1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4.25" customHeight="1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4.25" customHeight="1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4.25" customHeight="1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4.25" customHeight="1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4.25" customHeight="1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4.25" customHeight="1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4.25" customHeight="1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4.25" customHeight="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4.25" customHeight="1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4.25" customHeight="1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4.25" customHeight="1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4.25" customHeight="1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4.25" customHeight="1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4.25" customHeight="1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4.25" customHeight="1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4.25" customHeight="1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4.25" customHeight="1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4.25" customHeight="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4.25" customHeight="1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4.25" customHeight="1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4.25" customHeight="1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4.25" customHeight="1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4.25" customHeight="1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4.25" customHeight="1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4.25" customHeight="1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4.25" customHeight="1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4.25" customHeight="1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4.25" customHeight="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4.25" customHeight="1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4.25" customHeight="1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4.25" customHeight="1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4.25" customHeight="1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4.25" customHeight="1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4.25" customHeight="1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4.25" customHeight="1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4.25" customHeight="1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4.25" customHeight="1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4.25" customHeight="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4.25" customHeight="1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4.25" customHeight="1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4.25" customHeight="1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4.25" customHeight="1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4.25" customHeight="1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4.25" customHeight="1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4.25" customHeight="1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4.25" customHeight="1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4.25" customHeight="1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4.25" customHeight="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4.25" customHeight="1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4.25" customHeight="1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4.25" customHeight="1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4.25" customHeight="1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4.25" customHeight="1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4.25" customHeight="1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4.25" customHeight="1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4.25" customHeight="1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4.25" customHeight="1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4.25" customHeight="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4.25" customHeight="1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4.25" customHeight="1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4.25" customHeight="1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4.25" customHeight="1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4.25" customHeight="1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4.25" customHeight="1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4.25" customHeight="1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4.25" customHeight="1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4.25" customHeight="1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4.25" customHeight="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4.25" customHeight="1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4.25" customHeight="1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4.25" customHeight="1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4.25" customHeight="1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4.25" customHeight="1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4.25" customHeight="1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4.25" customHeight="1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4.25" customHeight="1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4.25" customHeight="1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4.25" customHeight="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4.25" customHeight="1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4.25" customHeight="1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4.25" customHeight="1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4.25" customHeight="1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4.25" customHeight="1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4.25" customHeight="1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4.25" customHeight="1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4.25" customHeight="1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4.25" customHeight="1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4.25" customHeight="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4.25" customHeight="1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4.25" customHeight="1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4.25" customHeight="1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4.25" customHeight="1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4.25" customHeight="1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4.25" customHeight="1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4.25" customHeight="1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4.25" customHeight="1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4.25" customHeight="1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4.25" customHeight="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4.25" customHeight="1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4.25" customHeight="1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4.25" customHeight="1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4.25" customHeight="1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4.25" customHeight="1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4.25" customHeight="1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4.25" customHeight="1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4.25" customHeight="1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4.25" customHeight="1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4.25" customHeight="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4.25" customHeight="1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4.25" customHeight="1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4.25" customHeight="1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4.25" customHeight="1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4.25" customHeight="1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4.25" customHeight="1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4.25" customHeight="1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4.25" customHeight="1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4.25" customHeight="1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4.25" customHeight="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4.25" customHeight="1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4.25" customHeight="1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4.25" customHeight="1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4.25" customHeight="1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4.25" customHeight="1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4.25" customHeight="1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4.25" customHeight="1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4.25" customHeight="1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4.25" customHeight="1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4.25" customHeight="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4.25" customHeight="1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4.25" customHeight="1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4.25" customHeight="1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4.25" customHeight="1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4.25" customHeight="1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4.25" customHeight="1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4.25" customHeight="1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4.25" customHeight="1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4.25" customHeight="1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4.25" customHeight="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4.25" customHeight="1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4.25" customHeight="1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4.25" customHeight="1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4.25" customHeight="1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4.25" customHeight="1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4.25" customHeight="1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4.25" customHeight="1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4.25" customHeight="1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4.25" customHeight="1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4.25" customHeight="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4.25" customHeight="1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4.25" customHeight="1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4.25" customHeight="1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4.25" customHeight="1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4.25" customHeight="1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4.25" customHeight="1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4.25" customHeight="1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4.25" customHeight="1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4.25" customHeight="1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4.25" customHeight="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4.25" customHeight="1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4.25" customHeight="1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4.25" customHeight="1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4.25" customHeight="1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4.25" customHeight="1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4.25" customHeight="1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4.25" customHeight="1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4.25" customHeight="1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4.25" customHeight="1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4.25" customHeight="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4.25" customHeight="1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4.25" customHeight="1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4.25" customHeight="1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4.25" customHeight="1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4.25" customHeight="1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4.25" customHeight="1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4.25" customHeight="1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4.25" customHeight="1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4.25" customHeight="1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4.25" customHeight="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4.25" customHeight="1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4.25" customHeight="1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4.25" customHeight="1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4.25" customHeight="1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4.25" customHeight="1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4.25" customHeight="1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4.25" customHeight="1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4.25" customHeight="1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4.25" customHeight="1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4.25" customHeight="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4.25" customHeight="1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4.25" customHeight="1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4.25" customHeight="1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4.25" customHeight="1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4.25" customHeight="1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4.25" customHeight="1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4.25" customHeight="1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4.25" customHeight="1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4.25" customHeight="1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4.25" customHeight="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4.25" customHeight="1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4.25" customHeight="1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4.25" customHeight="1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4.25" customHeight="1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4.25" customHeight="1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4.25" customHeight="1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4.25" customHeight="1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4.25" customHeight="1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4.25" customHeight="1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4.25" customHeight="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4.25" customHeight="1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4.25" customHeight="1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4.25" customHeight="1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4.25" customHeight="1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4.25" customHeight="1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4.25" customHeight="1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4.25" customHeight="1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4.25" customHeight="1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4.25" customHeight="1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4.25" customHeight="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4.25" customHeight="1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4.25" customHeight="1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4.25" customHeight="1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4.25" customHeight="1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4.25" customHeight="1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4.25" customHeight="1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4.25" customHeight="1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4.25" customHeight="1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4.25" customHeight="1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4.25" customHeight="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4.25" customHeight="1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4.25" customHeight="1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4.25" customHeight="1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4.25" customHeight="1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4.25" customHeight="1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4.25" customHeight="1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4.25" customHeight="1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4.25" customHeight="1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4.25" customHeight="1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4.25" customHeight="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4.25" customHeight="1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4.25" customHeight="1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4.25" customHeight="1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4.25" customHeight="1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4.25" customHeight="1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4.25" customHeight="1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4.25" customHeight="1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4.25" customHeight="1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4.25" customHeight="1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4.25" customHeight="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4.25" customHeight="1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4.25" customHeight="1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4.25" customHeight="1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4.25" customHeight="1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4.25" customHeight="1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4.25" customHeight="1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4.25" customHeight="1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4.25" customHeight="1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4.25" customHeight="1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4.25" customHeight="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4.25" customHeight="1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4.25" customHeight="1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4.25" customHeight="1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4.25" customHeight="1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4.25" customHeight="1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4.25" customHeight="1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4.25" customHeight="1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4.25" customHeight="1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4.25" customHeight="1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4.25" customHeight="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4.25" customHeight="1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4.25" customHeight="1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4.25" customHeight="1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4.25" customHeight="1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4.25" customHeight="1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4.25" customHeight="1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4.25" customHeight="1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4.25" customHeight="1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4.25" customHeight="1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4.25" customHeight="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4.25" customHeight="1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4.25" customHeight="1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4.25" customHeight="1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4.25" customHeight="1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4.25" customHeight="1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4.25" customHeight="1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4.25" customHeight="1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4.25" customHeight="1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4.25" customHeight="1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4.25" customHeight="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4.25" customHeight="1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4.25" customHeight="1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4.25" customHeight="1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4.25" customHeight="1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4.25" customHeight="1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4.25" customHeight="1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4.25" customHeight="1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4.25" customHeight="1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4.25" customHeight="1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4.25" customHeight="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4.25" customHeight="1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4.25" customHeight="1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4.25" customHeight="1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4.25" customHeight="1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4.25" customHeight="1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4.25" customHeight="1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4.25" customHeight="1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4.25" customHeight="1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4.25" customHeight="1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4.25" customHeight="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4.25" customHeight="1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4.25" customHeight="1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4.25" customHeight="1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4.25" customHeight="1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4.25" customHeight="1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4.25" customHeight="1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4.25" customHeight="1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4.25" customHeight="1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4.25" customHeight="1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4.25" customHeight="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4.25" customHeight="1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4.25" customHeight="1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4.25" customHeight="1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4.25" customHeight="1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4.25" customHeight="1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4.25" customHeight="1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4.25" customHeight="1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4.25" customHeight="1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4.25" customHeight="1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4.25" customHeight="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4.25" customHeight="1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4.25" customHeight="1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4.25" customHeight="1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4.25" customHeight="1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4.25" customHeight="1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4.25" customHeight="1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4.25" customHeight="1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4.25" customHeight="1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4.25" customHeight="1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4.25" customHeight="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4.25" customHeight="1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4.25" customHeight="1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4.25" customHeight="1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4.25" customHeight="1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4.25" customHeight="1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4.25" customHeight="1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4.25" customHeight="1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4.25" customHeight="1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4.25" customHeight="1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4.25" customHeight="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4.25" customHeight="1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4.25" customHeight="1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4.25" customHeight="1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4.25" customHeight="1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4.25" customHeight="1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4.25" customHeight="1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4.25" customHeight="1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4.25" customHeight="1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4.25" customHeight="1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4.25" customHeight="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4.25" customHeight="1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4.25" customHeight="1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4.25" customHeight="1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4.25" customHeight="1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4.25" customHeight="1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4.25" customHeight="1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4.25" customHeight="1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4.25" customHeight="1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4.25" customHeight="1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4.25" customHeight="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4.25" customHeight="1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4.25" customHeight="1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4.25" customHeight="1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4.25" customHeight="1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4.25" customHeight="1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4.25" customHeight="1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4.25" customHeight="1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4.25" customHeight="1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4.25" customHeight="1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4.25" customHeight="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4.25" customHeight="1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4.25" customHeight="1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4.25" customHeight="1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4.25" customHeight="1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4.25" customHeight="1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4.25" customHeight="1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4.25" customHeight="1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4.25" customHeight="1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4.25" customHeight="1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4.25" customHeight="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4.25" customHeight="1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4.25" customHeight="1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4.25" customHeight="1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4.25" customHeight="1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4.25" customHeight="1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4.25" customHeight="1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4.25" customHeight="1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4.25" customHeight="1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4.25" customHeight="1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4.25" customHeight="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4.25" customHeight="1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4.25" customHeight="1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4.25" customHeight="1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4.25" customHeight="1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4.25" customHeight="1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4.25" customHeight="1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4.25" customHeight="1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4.25" customHeight="1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4.25" customHeight="1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4.25" customHeight="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4.25" customHeight="1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4.25" customHeight="1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4.25" customHeight="1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4.25" customHeight="1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4.25" customHeight="1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4.25" customHeight="1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4.25" customHeight="1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4.25" customHeight="1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4.25" customHeight="1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4.25" customHeight="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4.25" customHeight="1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4.25" customHeight="1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4.25" customHeight="1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4.25" customHeight="1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4.25" customHeight="1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4.25" customHeight="1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4.25" customHeight="1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4.25" customHeight="1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4.25" customHeight="1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4.25" customHeight="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4.25" customHeight="1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4.25" customHeight="1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4.25" customHeight="1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4.25" customHeight="1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4.25" customHeight="1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4.25" customHeight="1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4.25" customHeight="1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4.25" customHeight="1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4.25" customHeight="1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4.25" customHeight="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4.25" customHeight="1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4.25" customHeight="1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4.25" customHeight="1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4.25" customHeight="1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4.25" customHeight="1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4.25" customHeight="1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4.25" customHeight="1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4.25" customHeight="1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4.25" customHeight="1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4.25" customHeight="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4.25" customHeight="1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4.25" customHeight="1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4.25" customHeight="1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4.25" customHeight="1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4.25" customHeight="1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4.25" customHeight="1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4.25" customHeight="1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4.25" customHeight="1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4.25" customHeight="1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4.25" customHeight="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4.25" customHeight="1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4.25" customHeight="1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4.25" customHeight="1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4.25" customHeight="1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4.25" customHeight="1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4.25" customHeight="1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4.25" customHeight="1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4.25" customHeight="1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4.25" customHeight="1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4.25" customHeight="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4.25" customHeight="1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4.25" customHeight="1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4.25" customHeight="1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4.25" customHeight="1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4.25" customHeight="1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4.25" customHeight="1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4.25" customHeight="1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4.25" customHeight="1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4.25" customHeight="1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4.25" customHeight="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4.25" customHeight="1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4.25" customHeight="1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4.25" customHeight="1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4.25" customHeight="1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4.25" customHeight="1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4.25" customHeight="1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4.25" customHeight="1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4.25" customHeight="1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4.25" customHeight="1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4.25" customHeight="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4.25" customHeight="1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4.25" customHeight="1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4.25" customHeight="1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4.25" customHeight="1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4.25" customHeight="1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4.25" customHeight="1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4.25" customHeight="1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4.25" customHeight="1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4.25" customHeight="1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4.25" customHeight="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4.25" customHeight="1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4.25" customHeight="1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4.25" customHeight="1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4.25" customHeight="1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4.25" customHeight="1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4.25" customHeight="1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4.25" customHeight="1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4.25" customHeight="1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4.25" customHeight="1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4.25" customHeight="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4.25" customHeight="1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4.25" customHeight="1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4.25" customHeight="1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4.25" customHeight="1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4.25" customHeight="1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4.25" customHeight="1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4.25" customHeight="1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4.25" customHeight="1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4.25" customHeight="1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4.25" customHeight="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4.25" customHeight="1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4.25" customHeight="1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4.25" customHeight="1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4.25" customHeight="1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4.25" customHeight="1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4.25" customHeight="1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4.25" customHeight="1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4.25" customHeight="1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4.25" customHeight="1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4.25" customHeight="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4.25" customHeight="1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4.25" customHeight="1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4.25" customHeight="1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4.25" customHeight="1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4.25" customHeight="1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4.25" customHeight="1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4.25" customHeight="1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4.25" customHeight="1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4.25" customHeight="1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4.25" customHeight="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4.25" customHeight="1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4.25" customHeight="1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4.25" customHeight="1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4.25" customHeight="1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4.25" customHeight="1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4.25" customHeight="1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4.25" customHeight="1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4.25" customHeight="1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4.25" customHeight="1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4.25" customHeight="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4.25" customHeight="1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4.25" customHeight="1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4.25" customHeight="1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4.25" customHeight="1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4.25" customHeight="1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4.25" customHeight="1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4.25" customHeight="1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4.25" customHeight="1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4.25" customHeight="1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4.25" customHeight="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4.25" customHeight="1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4.25" customHeight="1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4.25" customHeight="1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4.25" customHeight="1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4.25" customHeight="1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4.25" customHeight="1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4.25" customHeight="1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4.25" customHeight="1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4.25" customHeight="1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4.25" customHeight="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4.25" customHeight="1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4.25" customHeight="1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4.25" customHeight="1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4.25" customHeight="1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4.25" customHeight="1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4.25" customHeight="1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4.25" customHeight="1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4.25" customHeight="1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4.25" customHeight="1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4.25" customHeight="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4.25" customHeight="1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4.25" customHeight="1">
      <c r="A1003" s="1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4.25" customHeight="1">
      <c r="A1004" s="1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4.25" customHeight="1">
      <c r="A1005" s="1"/>
      <c r="B1005" s="1"/>
      <c r="C1005" s="1"/>
      <c r="D1005" s="1"/>
      <c r="E1005" s="1"/>
      <c r="F1005" s="1"/>
      <c r="G1005" s="2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4.25" customHeight="1">
      <c r="A1006" s="1"/>
      <c r="B1006" s="1"/>
      <c r="C1006" s="1"/>
      <c r="D1006" s="1"/>
      <c r="E1006" s="1"/>
      <c r="F1006" s="1"/>
      <c r="G1006" s="2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4.25" customHeight="1">
      <c r="A1007" s="1"/>
      <c r="B1007" s="1"/>
      <c r="C1007" s="1"/>
      <c r="D1007" s="1"/>
      <c r="E1007" s="1"/>
      <c r="F1007" s="1"/>
      <c r="G1007" s="2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4.25" customHeight="1">
      <c r="A1008" s="1"/>
      <c r="B1008" s="1"/>
      <c r="C1008" s="1"/>
      <c r="D1008" s="1"/>
      <c r="E1008" s="1"/>
      <c r="F1008" s="1"/>
      <c r="G1008" s="2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4.25" customHeight="1">
      <c r="A1009" s="1"/>
      <c r="B1009" s="1"/>
      <c r="C1009" s="1"/>
      <c r="D1009" s="1"/>
      <c r="E1009" s="1"/>
      <c r="F1009" s="1"/>
      <c r="G1009" s="2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4.25" customHeight="1">
      <c r="A1010" s="1"/>
      <c r="B1010" s="1"/>
      <c r="C1010" s="1"/>
      <c r="D1010" s="1"/>
      <c r="E1010" s="1"/>
      <c r="F1010" s="1"/>
      <c r="G1010" s="2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4.25" customHeight="1">
      <c r="A1011" s="1"/>
      <c r="B1011" s="1"/>
      <c r="C1011" s="1"/>
      <c r="D1011" s="1"/>
      <c r="E1011" s="1"/>
      <c r="F1011" s="1"/>
      <c r="G1011" s="2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4.25" customHeight="1">
      <c r="A1012" s="1"/>
      <c r="B1012" s="1"/>
      <c r="C1012" s="1"/>
      <c r="D1012" s="1"/>
      <c r="E1012" s="1"/>
      <c r="F1012" s="1"/>
      <c r="G1012" s="2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4.25" customHeight="1">
      <c r="A1013" s="1"/>
      <c r="B1013" s="1"/>
      <c r="C1013" s="1"/>
      <c r="D1013" s="1"/>
      <c r="E1013" s="1"/>
      <c r="F1013" s="1"/>
      <c r="G1013" s="2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4.25" customHeight="1">
      <c r="A1014" s="1"/>
      <c r="B1014" s="1"/>
      <c r="C1014" s="1"/>
      <c r="D1014" s="1"/>
      <c r="E1014" s="1"/>
      <c r="F1014" s="1"/>
      <c r="G1014" s="2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4.25" customHeight="1">
      <c r="A1015" s="1"/>
      <c r="B1015" s="1"/>
      <c r="C1015" s="1"/>
      <c r="D1015" s="1"/>
      <c r="E1015" s="1"/>
      <c r="F1015" s="1"/>
      <c r="G1015" s="2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mergeCells count="4">
    <mergeCell ref="A2:B3"/>
    <mergeCell ref="D2:F4"/>
    <mergeCell ref="A39:I39"/>
    <mergeCell ref="A41:I41"/>
  </mergeCells>
  <hyperlinks>
    <hyperlink r:id="rId1" ref="A41"/>
  </hyperlinks>
  <printOptions/>
  <pageMargins bottom="0.75" footer="0.0" header="0.0" left="0.699305555555556" right="0.699305555555556" top="0.75"/>
  <pageSetup paperSize="9" orientation="portrait"/>
  <drawing r:id="rId2"/>
</worksheet>
</file>